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TL">'RELEVANCIA-PUNTAJE'!$B$3</definedName>
    <definedName name="NL">'RELEVANCIA-PUNTAJE'!$E$2</definedName>
    <definedName name="MR">'RELEVANCIA-PUNTAJE'!$A$3</definedName>
    <definedName name="PR">'RELEVANCIA-PUNTAJE'!$A$5</definedName>
    <definedName name="MR_CL">'RELEVANCIA-PUNTAJE'!$B$3</definedName>
    <definedName name="PR_NL">'RELEVANCIA-PUNTAJE'!$E$5</definedName>
    <definedName name="MR_L">'RELEVANCIA-PUNTAJE'!$C$3</definedName>
    <definedName name="CL">'RELEVANCIA-PUNTAJE'!$B$2</definedName>
    <definedName name="RE_TL">'RELEVANCIA-PUNTAJE'!$B$4</definedName>
    <definedName name="L">'RELEVANCIA-PUNTAJE'!$C$2</definedName>
    <definedName name="RE">'RELEVANCIA-PUNTAJE'!$A$4</definedName>
    <definedName name="RE_NL">'RELEVANCIA-PUNTAJE'!$E$4</definedName>
    <definedName name="MR_ML">'RELEVANCIA-PUNTAJE'!$D$3</definedName>
    <definedName name="ML">'RELEVANCIA-PUNTAJE'!$D$2</definedName>
    <definedName name="TL">'RELEVANCIA-PUNTAJE'!$B$2</definedName>
    <definedName name="PR_ML">'RELEVANCIA-PUNTAJE'!$D$5</definedName>
    <definedName name="MR_NL">'RELEVANCIA-PUNTAJE'!$E$3</definedName>
    <definedName name="PR_TL">'RELEVANCIA-PUNTAJE'!$B$5</definedName>
    <definedName name="RE_ML">'RELEVANCIA-PUNTAJE'!$D$4</definedName>
  </definedNames>
  <calcPr/>
  <extLst>
    <ext uri="GoogleSheetsCustomDataVersion2">
      <go:sheetsCustomData xmlns:go="http://customooxmlschemas.google.com/" r:id="rId10" roundtripDataChecksum="3PIUWmeK1Zb7fvkzFHgaZJwwXEP2wkuzsjVMMc8kIXg="/>
    </ext>
  </extLst>
</workbook>
</file>

<file path=xl/sharedStrings.xml><?xml version="1.0" encoding="utf-8"?>
<sst xmlns="http://schemas.openxmlformats.org/spreadsheetml/2006/main" count="82" uniqueCount="64">
  <si>
    <t>PUNTOS</t>
  </si>
  <si>
    <t>Puntaje</t>
  </si>
  <si>
    <t>NOTA</t>
  </si>
  <si>
    <t>Nota</t>
  </si>
  <si>
    <t>Indicador de Evaluación</t>
  </si>
  <si>
    <t>INTEGRANTES</t>
  </si>
  <si>
    <t>GRUPAL</t>
  </si>
  <si>
    <t>Categorías de Respuesta</t>
  </si>
  <si>
    <t>Christian Alejandro Sarria Duarte</t>
  </si>
  <si>
    <t>Ponderación del Indicador de Evaluación</t>
  </si>
  <si>
    <t>Nivel de Logro</t>
  </si>
  <si>
    <t>NIVELES DE LOGRO Y PUNTAJES</t>
  </si>
  <si>
    <t>Aspectos a Evaluar</t>
  </si>
  <si>
    <r>
      <rPr>
        <rFont val="Calibri"/>
        <b/>
        <color rgb="FFFFFFFF"/>
        <sz val="11.0"/>
      </rPr>
      <t>Completamente Logrado</t>
    </r>
    <r>
      <rPr>
        <rFont val="Calibri"/>
        <b/>
        <color rgb="FFFFFFFF"/>
        <sz val="10.0"/>
      </rPr>
      <t xml:space="preserve">  (100%)</t>
    </r>
  </si>
  <si>
    <t>Completamente logrado</t>
  </si>
  <si>
    <t>Logrado</t>
  </si>
  <si>
    <t>Logro Incipiente</t>
  </si>
  <si>
    <t>No logrado</t>
  </si>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</sst>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1.0"/>
      <color rgb="FF000000"/>
      <name val="Calibri"/>
    </font>
    <font>
      <b/>
      <sz val="10.0"/>
      <color rgb="FFFFFFFF"/>
      <name val="Calibri"/>
    </font>
    <font/>
    <font>
      <sz val="20.0"/>
      <color rgb="FF000000"/>
      <name val="Calibri"/>
    </font>
    <font>
      <b/>
      <sz val="14.0"/>
      <color rgb="FF000000"/>
      <name val="Calibri"/>
    </font>
    <font>
      <b/>
      <sz val="10.0"/>
      <color rgb="FF000000"/>
      <name val="Calibri"/>
    </font>
    <font>
      <b/>
      <sz val="11.0"/>
      <color rgb="FFFFFFFF"/>
      <name val="Calibri"/>
    </font>
    <font>
      <sz val="9.0"/>
      <color rgb="FF000000"/>
      <name val="Calibri"/>
    </font>
    <font>
      <sz val="10.0"/>
      <color rgb="FF000000"/>
      <name val="Calibri"/>
    </font>
    <font>
      <b/>
      <sz val="10.0"/>
      <color rgb="FF3B3838"/>
      <name val="Calibri"/>
    </font>
    <font>
      <sz val="10.0"/>
      <color theme="1"/>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0" fillId="0" fontId="3" numFmtId="0" xfId="0" applyFont="1"/>
    <xf borderId="1" fillId="2" fontId="2"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0" fillId="0" fontId="2" numFmtId="0" xfId="0" applyAlignment="1" applyFont="1">
      <alignment horizontal="right" vertical="center"/>
    </xf>
    <xf borderId="3" fillId="0" fontId="2" numFmtId="0" xfId="0" applyAlignment="1" applyBorder="1" applyFont="1">
      <alignment horizontal="left" readingOrder="0"/>
    </xf>
    <xf borderId="4" fillId="3" fontId="4"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5" fillId="0" fontId="5" numFmtId="0" xfId="0" applyBorder="1" applyFont="1"/>
    <xf borderId="6" fillId="0" fontId="5" numFmtId="0" xfId="0" applyBorder="1" applyFont="1"/>
    <xf borderId="7" fillId="4" fontId="6" numFmtId="0" xfId="0" applyAlignment="1" applyBorder="1" applyFill="1" applyFont="1">
      <alignment horizontal="center" textRotation="255" vertical="center"/>
    </xf>
    <xf borderId="1" fillId="5" fontId="7" numFmtId="0" xfId="0" applyAlignment="1" applyBorder="1" applyFill="1" applyFont="1">
      <alignment horizontal="center" vertical="center"/>
    </xf>
    <xf borderId="8" fillId="0" fontId="5" numFmtId="0" xfId="0" applyBorder="1" applyFont="1"/>
    <xf borderId="7" fillId="5" fontId="8" numFmtId="0" xfId="0" applyAlignment="1" applyBorder="1" applyFill="1" applyFont="1">
      <alignment horizontal="center" vertical="center"/>
    </xf>
    <xf borderId="3" fillId="5" fontId="8" numFmtId="0" xfId="0" applyAlignment="1" applyBorder="1" applyFill="1" applyFont="1">
      <alignment horizontal="center" vertical="center"/>
    </xf>
    <xf borderId="9" fillId="0" fontId="5" numFmtId="0" xfId="0" applyBorder="1" applyFont="1"/>
    <xf borderId="10" fillId="0" fontId="5" numFmtId="0" xfId="0" applyBorder="1" applyFont="1"/>
    <xf borderId="11" fillId="0" fontId="5" numFmtId="0" xfId="0" applyBorder="1" applyFont="1"/>
    <xf borderId="12" fillId="5" fontId="8" numFmtId="0" xfId="0" applyAlignment="1" applyBorder="1" applyFill="1" applyFont="1">
      <alignment horizontal="center" vertical="center"/>
    </xf>
    <xf borderId="13" fillId="0" fontId="5" numFmtId="0" xfId="0" applyBorder="1" applyFont="1"/>
    <xf borderId="2" fillId="3" fontId="9" numFmtId="0" xfId="0" applyAlignment="1" applyBorder="1" applyFill="1" applyFont="1">
      <alignment horizontal="center" shrinkToFit="0" vertical="center" wrapText="1"/>
    </xf>
    <xf borderId="14" fillId="3" fontId="9" numFmtId="0" xfId="0" applyAlignment="1" applyBorder="1" applyFill="1" applyFont="1">
      <alignment horizontal="center" shrinkToFit="0" vertical="center" wrapText="1"/>
    </xf>
    <xf borderId="1" fillId="0" fontId="10" numFmtId="0" xfId="0" applyAlignment="1" applyBorder="1" applyFont="1">
      <alignment horizontal="left" shrinkToFit="0" vertical="center" wrapText="1"/>
    </xf>
    <xf borderId="14" fillId="3" fontId="4" numFmtId="0" xfId="0" applyAlignment="1" applyBorder="1" applyFill="1" applyFont="1">
      <alignment horizontal="center" shrinkToFit="0" vertical="center" wrapText="1"/>
    </xf>
    <xf borderId="10" fillId="0" fontId="11" numFmtId="0" xfId="0" applyAlignment="1" applyBorder="1" applyFont="1">
      <alignment horizontal="left" vertical="center"/>
    </xf>
    <xf borderId="15" fillId="0" fontId="5" numFmtId="0" xfId="0" applyBorder="1" applyFont="1"/>
    <xf borderId="14" fillId="3" fontId="4" numFmtId="9" xfId="0" applyAlignment="1" applyBorder="1" applyFill="1" applyFont="1" applyNumberFormat="1">
      <alignment horizontal="center" shrinkToFit="0" vertical="center" wrapText="1"/>
    </xf>
    <xf borderId="16" fillId="0" fontId="5" numFmtId="0" xfId="0" applyBorder="1" applyFont="1"/>
    <xf borderId="1" fillId="0" fontId="11" numFmtId="0" xfId="0" applyAlignment="1" applyBorder="1" applyFont="1">
      <alignment horizontal="left" shrinkToFit="0" vertical="center" wrapText="1"/>
    </xf>
    <xf borderId="1" fillId="0" fontId="11" numFmtId="0" xfId="0" applyAlignment="1" applyBorder="1" applyFont="1">
      <alignment horizontal="center" vertical="center"/>
    </xf>
    <xf borderId="17" fillId="0" fontId="12" numFmtId="0" xfId="0" applyAlignment="1" applyBorder="1" applyFont="1">
      <alignment horizontal="center" shrinkToFit="0" vertical="center" wrapText="1"/>
    </xf>
    <xf borderId="18" fillId="0" fontId="12"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7" fillId="0" fontId="8" numFmtId="0" xfId="0" applyAlignment="1" applyBorder="1" applyFont="1">
      <alignment horizontal="center" shrinkToFit="0" vertical="center" wrapText="1"/>
    </xf>
    <xf borderId="18" fillId="0" fontId="8" numFmtId="0" xfId="0" applyAlignment="1" applyBorder="1" applyFont="1">
      <alignment horizontal="center" shrinkToFit="0" vertical="center" wrapText="1"/>
    </xf>
    <xf borderId="19" fillId="5" fontId="3" numFmtId="0" xfId="0" applyAlignment="1" applyBorder="1" applyFill="1" applyFont="1">
      <alignment horizontal="left" shrinkToFit="0" vertical="center" wrapText="1"/>
    </xf>
    <xf borderId="20" fillId="5" fontId="3" numFmtId="0" xfId="0" applyAlignment="1" applyBorder="1" applyFill="1" applyFont="1">
      <alignment shrinkToFit="0" vertical="center" wrapText="1"/>
    </xf>
    <xf borderId="21" fillId="5" fontId="3" numFmtId="0" xfId="0" applyAlignment="1" applyBorder="1" applyFill="1" applyFont="1">
      <alignment shrinkToFit="0" vertical="center" wrapText="1"/>
    </xf>
    <xf borderId="22" fillId="5" fontId="3" numFmtId="0" xfId="0" applyAlignment="1" applyBorder="1" applyFill="1" applyFont="1">
      <alignment shrinkToFit="0" vertical="center" wrapText="1"/>
    </xf>
    <xf borderId="23" fillId="0" fontId="5" numFmtId="0" xfId="0" applyBorder="1" applyFont="1"/>
    <xf borderId="24" fillId="5" fontId="3" numFmtId="0" xfId="0" applyAlignment="1" applyBorder="1" applyFill="1" applyFont="1">
      <alignment shrinkToFit="0" vertical="center" wrapText="1"/>
    </xf>
    <xf borderId="25" fillId="5" fontId="3" numFmtId="0" xfId="0" applyAlignment="1" applyBorder="1" applyFill="1" applyFont="1">
      <alignment shrinkToFit="0" vertical="center" wrapText="1"/>
    </xf>
    <xf borderId="26" fillId="5" fontId="3" numFmtId="0" xfId="0" applyAlignment="1" applyBorder="1" applyFill="1" applyFont="1">
      <alignment shrinkToFit="0" vertical="center" wrapText="1"/>
    </xf>
    <xf borderId="23" fillId="0" fontId="3" numFmtId="0" xfId="0" applyAlignment="1" applyBorder="1" applyFont="1">
      <alignment horizontal="left" shrinkToFit="0" vertical="center" wrapText="1"/>
    </xf>
    <xf borderId="27" fillId="0" fontId="3" numFmtId="0" xfId="0" applyAlignment="1" applyBorder="1" applyFont="1">
      <alignment horizontal="left" shrinkToFit="0" vertical="center" wrapText="1"/>
    </xf>
    <xf borderId="13" fillId="0" fontId="10" numFmtId="0" xfId="0" applyAlignment="1" applyBorder="1" applyFont="1">
      <alignment horizontal="right" shrinkToFit="0" vertical="center" wrapText="1"/>
    </xf>
    <xf borderId="7" fillId="0" fontId="14" numFmtId="0" xfId="0" applyBorder="1" applyFont="1"/>
    <xf borderId="1" fillId="6" fontId="2" numFmtId="0" xfId="0" applyBorder="1" applyFill="1" applyFont="1"/>
    <xf borderId="3" fillId="0" fontId="10" numFmtId="0" xfId="0" applyAlignment="1" applyBorder="1" applyFont="1">
      <alignment horizontal="right" shrinkToFit="0" vertical="center" wrapText="1"/>
    </xf>
    <xf borderId="1" fillId="0" fontId="14" numFmtId="164" xfId="0" applyBorder="1" applyFont="1" applyNumberFormat="1"/>
    <xf borderId="0" fillId="0" fontId="2" numFmtId="0" xfId="0" applyAlignment="1" applyFont="1">
      <alignment shrinkToFit="0" wrapText="1"/>
    </xf>
    <xf borderId="0" fillId="0" fontId="10" numFmtId="0" xfId="0" applyAlignment="1" applyFont="1">
      <alignment horizontal="right" shrinkToFit="0" vertical="center" wrapText="1"/>
    </xf>
    <xf borderId="0" fillId="0" fontId="14" numFmtId="164" xfId="0" applyFont="1" applyNumberFormat="1"/>
    <xf borderId="0" fillId="0" fontId="10"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5</v>
      </c>
      <c r="C3" s="5" t="s">
        <v>6</v>
      </c>
    </row>
    <row r="4">
      <c r="A4" s="7">
        <v>1.0</v>
      </c>
      <c r="B4" s="8" t="s">
        <v>8</v>
      </c>
      <c r="C4" s="10">
        <f>EVALUACION2!$C$20</f>
        <v>7</v>
      </c>
      <c r="G4" s="3"/>
    </row>
    <row r="9" outlineLevel="1">
      <c r="A9" s="13" t="s">
        <v>6</v>
      </c>
      <c r="B9" s="14"/>
      <c r="C9" s="16" t="s">
        <v>10</v>
      </c>
      <c r="D9" s="17" t="s">
        <v>11</v>
      </c>
      <c r="E9" s="18"/>
      <c r="F9" s="18"/>
      <c r="G9" s="18"/>
      <c r="H9" s="18"/>
      <c r="I9" s="18"/>
      <c r="J9" s="18"/>
      <c r="K9" s="19"/>
    </row>
    <row r="10" outlineLevel="1">
      <c r="A10" s="20"/>
      <c r="B10" s="21" t="s">
        <v>12</v>
      </c>
      <c r="C10" s="22"/>
      <c r="D10" s="17" t="s">
        <v>14</v>
      </c>
      <c r="E10" s="19"/>
      <c r="F10" s="17" t="s">
        <v>15</v>
      </c>
      <c r="G10" s="19"/>
      <c r="H10" s="17" t="s">
        <v>16</v>
      </c>
      <c r="I10" s="19"/>
      <c r="J10" s="17" t="s">
        <v>17</v>
      </c>
      <c r="K10" s="19"/>
    </row>
    <row r="11" outlineLevel="1">
      <c r="A11" s="20"/>
      <c r="B11" s="25" t="str">
        <f>RUBRICA!A4</f>
        <v>1. Propone ajustes al Proyecto APT considerando dificultades, facilitadores y retroalimentación. </v>
      </c>
      <c r="C11" s="27" t="s">
        <v>14</v>
      </c>
      <c r="D11" s="32" t="str">
        <f>IF($C11=CL,"X","")</f>
        <v>X</v>
      </c>
      <c r="E11" s="32">
        <f t="shared" ref="E11:E12" si="1">IF(D11="X",100*0.1,"")</f>
        <v>10</v>
      </c>
      <c r="F11" s="32" t="str">
        <f>IF($C11=L,"X","")</f>
        <v/>
      </c>
      <c r="G11" s="32" t="str">
        <f t="shared" ref="G11:G12" si="2">IF(F11="X",60*0.1,"")</f>
        <v/>
      </c>
      <c r="H11" s="32" t="str">
        <f>IF($C11=ML,"X","")</f>
        <v/>
      </c>
      <c r="I11" s="32" t="str">
        <f t="shared" ref="I11:I12" si="3">IF(H11="X",30*0.1,"")</f>
        <v/>
      </c>
      <c r="J11" s="32" t="str">
        <f>IF($C11=NL,"X","")</f>
        <v/>
      </c>
      <c r="K11" s="32" t="str">
        <f t="shared" ref="K11:K18" si="4">IF($J11="X",0,"")</f>
        <v/>
      </c>
    </row>
    <row r="12" ht="26.25" customHeight="1" outlineLevel="1">
      <c r="A12" s="20"/>
      <c r="B12" s="25" t="str">
        <f>RUBRICA!A5</f>
        <v>2. Aplica una metodología que permite el logro de los objetivos propuestos, de acuerdo a los estándares de la disciplina.</v>
      </c>
      <c r="C12" s="27" t="s">
        <v>14</v>
      </c>
      <c r="D12" s="32" t="str">
        <f>IF($C12=CL,"X","")</f>
        <v>X</v>
      </c>
      <c r="E12" s="32">
        <f t="shared" si="1"/>
        <v>10</v>
      </c>
      <c r="F12" s="32" t="str">
        <f>IF($C12=L,"X","")</f>
        <v/>
      </c>
      <c r="G12" s="32" t="str">
        <f t="shared" si="2"/>
        <v/>
      </c>
      <c r="H12" s="32" t="str">
        <f>IF($C12=ML,"X","")</f>
        <v/>
      </c>
      <c r="I12" s="32" t="str">
        <f t="shared" si="3"/>
        <v/>
      </c>
      <c r="J12" s="32" t="str">
        <f>IF($C12=NL,"X","")</f>
        <v/>
      </c>
      <c r="K12" s="32" t="str">
        <f t="shared" si="4"/>
        <v/>
      </c>
    </row>
    <row r="13" outlineLevel="1">
      <c r="A13" s="20"/>
      <c r="B13" s="25" t="str">
        <f>RUBRICA!A6</f>
        <v>3. Genera evidencias que dan cuenta del avance del Proyecto APT en relación a documentación, programación y almacenamiento de datos , de acuerdo a lo planificado por el equipo y que cumpla con estándares de desarrollo de la industria</v>
      </c>
      <c r="C13" s="27" t="s">
        <v>14</v>
      </c>
      <c r="D13" s="32" t="str">
        <f>IF($C13=CL,"X","")</f>
        <v>X</v>
      </c>
      <c r="E13" s="32">
        <f>IF(D13="X",100*0.25,"")</f>
        <v>25</v>
      </c>
      <c r="F13" s="32" t="str">
        <f>IF($C13=L,"X","")</f>
        <v/>
      </c>
      <c r="G13" s="32" t="str">
        <f>IF(F13="X",60*0.25,"")</f>
        <v/>
      </c>
      <c r="H13" s="32" t="str">
        <f>IF($C13=ML,"X","")</f>
        <v/>
      </c>
      <c r="I13" s="32" t="str">
        <f>IF(H13="X",30*0.25,"")</f>
        <v/>
      </c>
      <c r="J13" s="32" t="str">
        <f>IF($C13=NL,"X","")</f>
        <v/>
      </c>
      <c r="K13" s="32" t="str">
        <f t="shared" si="4"/>
        <v/>
      </c>
    </row>
    <row r="14" outlineLevel="1">
      <c r="A14" s="20"/>
      <c r="B14" s="25" t="str">
        <f>RUBRICA!A7</f>
        <v>4. Utiliza de manera precisa el lenguaje técnico en los entregables de acuerdo con lo requerido por la disciplina.</v>
      </c>
      <c r="C14" s="27" t="s">
        <v>14</v>
      </c>
      <c r="D14" s="32" t="str">
        <f>IF($C14=CL,"X","")</f>
        <v>X</v>
      </c>
      <c r="E14" s="32">
        <f t="shared" ref="E14:E15" si="5">IF(D14="X",100*0.05,"")</f>
        <v>5</v>
      </c>
      <c r="F14" s="32" t="str">
        <f>IF($C14=L,"X","")</f>
        <v/>
      </c>
      <c r="G14" s="32" t="str">
        <f t="shared" ref="G14:G15" si="6">IF(F14="X",60*0.05,"")</f>
        <v/>
      </c>
      <c r="H14" s="32" t="str">
        <f>IF($C14=ML,"X","")</f>
        <v/>
      </c>
      <c r="I14" s="32" t="str">
        <f t="shared" ref="I14:I15" si="7">IF(H14="X",30*0.05,"")</f>
        <v/>
      </c>
      <c r="J14" s="32" t="str">
        <f>IF($C14=NL,"X","")</f>
        <v/>
      </c>
      <c r="K14" s="32" t="str">
        <f t="shared" si="4"/>
        <v/>
      </c>
    </row>
    <row r="15" outlineLevel="1">
      <c r="A15" s="20"/>
      <c r="B15" s="25" t="str">
        <f>RUBRICA!A8</f>
        <v>5. Utiliza reglas de redacción, ortografía (literal, puntual, acentual) y las normas para citas y referencias. </v>
      </c>
      <c r="C15" s="27" t="s">
        <v>14</v>
      </c>
      <c r="D15" s="32" t="str">
        <f>IF($C15=CL,"X","")</f>
        <v>X</v>
      </c>
      <c r="E15" s="32">
        <f t="shared" si="5"/>
        <v>5</v>
      </c>
      <c r="F15" s="32" t="str">
        <f>IF($C15=L,"X","")</f>
        <v/>
      </c>
      <c r="G15" s="32" t="str">
        <f t="shared" si="6"/>
        <v/>
      </c>
      <c r="H15" s="32" t="str">
        <f>IF($C15=ML,"X","")</f>
        <v/>
      </c>
      <c r="I15" s="32" t="str">
        <f t="shared" si="7"/>
        <v/>
      </c>
      <c r="J15" s="32" t="str">
        <f>IF($C15=NL,"X","")</f>
        <v/>
      </c>
      <c r="K15" s="32" t="str">
        <f t="shared" si="4"/>
        <v/>
      </c>
    </row>
    <row r="16" outlineLevel="1">
      <c r="A16" s="20"/>
      <c r="B16" s="25" t="str">
        <f>RUBRICA!A9</f>
        <v>6. Entrega la documentación y evidencias requerida por la asignatura de acuerdo a la estrucutra y nombres solicitados, guardando todas las evidencias de avances en Git</v>
      </c>
      <c r="C16" s="27" t="s">
        <v>14</v>
      </c>
      <c r="D16" s="32" t="str">
        <f>IF($C16=CL,"X","")</f>
        <v>X</v>
      </c>
      <c r="E16" s="32">
        <f>IF(D16="X",100*0.2,"")</f>
        <v>20</v>
      </c>
      <c r="F16" s="32" t="str">
        <f>IF($C16=L,"X","")</f>
        <v/>
      </c>
      <c r="G16" s="32" t="str">
        <f>IF(F16="X",60*0.2,"")</f>
        <v/>
      </c>
      <c r="H16" s="32" t="str">
        <f>IF($C16=ML,"X","")</f>
        <v/>
      </c>
      <c r="I16" s="32" t="str">
        <f>IF(H16="X",30*0.2,"")</f>
        <v/>
      </c>
      <c r="J16" s="32" t="str">
        <f>IF($C16=NL,"X","")</f>
        <v/>
      </c>
      <c r="K16" s="32" t="str">
        <f t="shared" si="4"/>
        <v/>
      </c>
    </row>
    <row r="17" outlineLevel="1">
      <c r="A17" s="20"/>
      <c r="B17" s="25" t="str">
        <f>RUBRICA!A10</f>
        <v>7.- Generan evidencias claras dentro del repositorio  del aporte de cada uno de los integrantes del equipo que permitan identificar la equidad en el trabajo y la participación de cada estudiante.</v>
      </c>
      <c r="C17" s="27" t="s">
        <v>14</v>
      </c>
      <c r="D17" s="32" t="str">
        <f>IF($C17=CL,"X","")</f>
        <v>X</v>
      </c>
      <c r="E17" s="32">
        <f>IF(D17="X",100*0.15,"")</f>
        <v>15</v>
      </c>
      <c r="F17" s="32" t="str">
        <f>IF($C17=L,"X","")</f>
        <v/>
      </c>
      <c r="G17" s="32" t="str">
        <f>IF(F17="X",60*0.15,"")</f>
        <v/>
      </c>
      <c r="H17" s="32" t="str">
        <f>IF($C17=ML,"X","")</f>
        <v/>
      </c>
      <c r="I17" s="32" t="str">
        <f>IF(H17="X",30*0.15,"")</f>
        <v/>
      </c>
      <c r="J17" s="32" t="str">
        <f>IF($C17=NL,"X","")</f>
        <v/>
      </c>
      <c r="K17" s="32" t="str">
        <f t="shared" si="4"/>
        <v/>
      </c>
    </row>
    <row r="18" outlineLevel="1">
      <c r="A18" s="20"/>
      <c r="B18" s="25" t="str">
        <f>RUBRICA!A11</f>
        <v>8. Demuestra un trabajo en equipo en donde todos los miembros del equipo expresan con fluidez el conocimiento del tema expuesto y  participan de las actividades planificadas en el proyecto</v>
      </c>
      <c r="C18" s="27" t="s">
        <v>14</v>
      </c>
      <c r="D18" s="32" t="str">
        <f>IF($C18=CL,"X","")</f>
        <v>X</v>
      </c>
      <c r="E18" s="32">
        <f>IF(D18="X",100*0.1,"")</f>
        <v>10</v>
      </c>
      <c r="F18" s="32" t="str">
        <f>IF($C18=L,"X","")</f>
        <v/>
      </c>
      <c r="G18" s="32" t="str">
        <f>IF(F18="X",60*0.1,"")</f>
        <v/>
      </c>
      <c r="H18" s="32" t="str">
        <f>IF($C18=ML,"X","")</f>
        <v/>
      </c>
      <c r="I18" s="32" t="str">
        <f>IF(H18="X",30*0.1,"")</f>
        <v/>
      </c>
      <c r="J18" s="32" t="str">
        <f>IF($C18=NL,"X","")</f>
        <v/>
      </c>
      <c r="K18" s="32" t="str">
        <f t="shared" si="4"/>
        <v/>
      </c>
    </row>
    <row r="19" ht="15.75" customHeight="1" outlineLevel="1">
      <c r="A19" s="20"/>
      <c r="B19" s="48" t="s">
        <v>1</v>
      </c>
      <c r="C19" s="49">
        <f>E19+G19+I19+K19</f>
        <v>100</v>
      </c>
      <c r="D19" s="50"/>
      <c r="E19" s="50">
        <f>SUM(E11:E18)</f>
        <v>100</v>
      </c>
      <c r="F19" s="50"/>
      <c r="G19" s="50">
        <f>SUM(G11:G18)</f>
        <v>0</v>
      </c>
      <c r="H19" s="50"/>
      <c r="I19" s="50">
        <f>SUM(I11:I18)</f>
        <v>0</v>
      </c>
      <c r="J19" s="50"/>
      <c r="K19" s="50">
        <f>SUM(K11:K18)</f>
        <v>0</v>
      </c>
    </row>
    <row r="20" ht="15.75" customHeight="1" outlineLevel="1">
      <c r="A20" s="22"/>
      <c r="B20" s="51" t="s">
        <v>3</v>
      </c>
      <c r="C20" s="52">
        <f>VLOOKUP(C19,ESCALA_IEP!A2:B202,2,FALSE)</f>
        <v>7</v>
      </c>
    </row>
    <row r="21" ht="15.75" customHeight="1">
      <c r="D21" s="1" t="s">
        <v>63</v>
      </c>
    </row>
    <row r="22" ht="48.0" customHeight="1">
      <c r="B22" s="53"/>
    </row>
    <row r="23" ht="15.75" customHeight="1">
      <c r="B23" s="54"/>
      <c r="C23" s="55"/>
    </row>
    <row r="24" ht="30.75" customHeight="1">
      <c r="B24" s="56"/>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7">
    <mergeCell ref="A9:A20"/>
    <mergeCell ref="C9:C10"/>
    <mergeCell ref="D9:K9"/>
    <mergeCell ref="D10:E10"/>
    <mergeCell ref="F10:G10"/>
    <mergeCell ref="H10:I10"/>
    <mergeCell ref="J10:K10"/>
  </mergeCells>
  <conditionalFormatting sqref="C4">
    <cfRule type="cellIs" dxfId="0" priority="1" operator="lessThan">
      <formula>4</formula>
    </cfRule>
  </conditionalFormatting>
  <conditionalFormatting sqref="C4">
    <cfRule type="cellIs" dxfId="0" priority="2" operator="lessThan">
      <formula>1</formula>
    </cfRule>
  </conditionalFormatting>
  <dataValidations>
    <dataValidation type="list" allowBlank="1" showErrorMessage="1" sqref="C11:C18">
      <formula1>'RELEVANCIA-PUNTAJE'!$B$2:$E$2</formula1>
    </dataValidation>
    <dataValidation type="decimal" allowBlank="1" showInputMessage="1" showErrorMessage="1" prompt="Error de Ingreso - Nota debe estar entre 1,0 y 7,0" sqref="C4">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6" t="s">
        <v>4</v>
      </c>
      <c r="B1" s="9" t="s">
        <v>7</v>
      </c>
      <c r="C1" s="11"/>
      <c r="D1" s="11"/>
      <c r="E1" s="12"/>
      <c r="F1" s="6" t="s">
        <v>9</v>
      </c>
    </row>
    <row r="2" ht="14.25" customHeight="1">
      <c r="A2" s="15"/>
      <c r="B2" s="23" t="s">
        <v>13</v>
      </c>
      <c r="C2" s="23" t="s">
        <v>18</v>
      </c>
      <c r="D2" s="24" t="s">
        <v>19</v>
      </c>
      <c r="E2" s="26" t="s">
        <v>17</v>
      </c>
      <c r="F2" s="15"/>
    </row>
    <row r="3" ht="14.25" customHeight="1">
      <c r="A3" s="28"/>
      <c r="B3" s="28"/>
      <c r="C3" s="28"/>
      <c r="D3" s="29">
        <v>-0.3</v>
      </c>
      <c r="E3" s="29">
        <v>0.0</v>
      </c>
      <c r="F3" s="30"/>
    </row>
    <row r="4" ht="14.25" customHeight="1">
      <c r="A4" s="31" t="s">
        <v>20</v>
      </c>
      <c r="B4" s="31" t="s">
        <v>21</v>
      </c>
      <c r="C4" s="31" t="s">
        <v>22</v>
      </c>
      <c r="D4" s="31" t="s">
        <v>23</v>
      </c>
      <c r="E4" s="31" t="s">
        <v>24</v>
      </c>
      <c r="F4" s="33">
        <v>10.0</v>
      </c>
    </row>
    <row r="5" ht="14.25" customHeight="1">
      <c r="A5" s="31" t="s">
        <v>25</v>
      </c>
      <c r="B5" s="31" t="s">
        <v>26</v>
      </c>
      <c r="C5" s="31" t="s">
        <v>27</v>
      </c>
      <c r="D5" s="31" t="s">
        <v>28</v>
      </c>
      <c r="E5" s="31" t="s">
        <v>29</v>
      </c>
      <c r="F5" s="33">
        <v>10.0</v>
      </c>
    </row>
    <row r="6" ht="14.25" customHeight="1">
      <c r="A6" s="31" t="s">
        <v>30</v>
      </c>
      <c r="B6" s="31" t="s">
        <v>31</v>
      </c>
      <c r="C6" s="31" t="s">
        <v>32</v>
      </c>
      <c r="D6" s="31" t="s">
        <v>33</v>
      </c>
      <c r="E6" s="31" t="s">
        <v>34</v>
      </c>
      <c r="F6" s="33">
        <v>25.0</v>
      </c>
    </row>
    <row r="7" ht="14.25" customHeight="1">
      <c r="A7" s="31" t="s">
        <v>35</v>
      </c>
      <c r="B7" s="31" t="s">
        <v>36</v>
      </c>
      <c r="C7" s="31" t="s">
        <v>37</v>
      </c>
      <c r="D7" s="31" t="s">
        <v>38</v>
      </c>
      <c r="E7" s="31" t="s">
        <v>39</v>
      </c>
      <c r="F7" s="33">
        <v>5.0</v>
      </c>
    </row>
    <row r="8" ht="14.25" customHeight="1">
      <c r="A8" s="31" t="s">
        <v>40</v>
      </c>
      <c r="B8" s="31" t="s">
        <v>41</v>
      </c>
      <c r="C8" s="31" t="s">
        <v>42</v>
      </c>
      <c r="D8" s="31" t="s">
        <v>43</v>
      </c>
      <c r="E8" s="31" t="s">
        <v>44</v>
      </c>
      <c r="F8" s="34">
        <v>5.0</v>
      </c>
    </row>
    <row r="9" ht="14.25" customHeight="1">
      <c r="A9" s="31" t="s">
        <v>45</v>
      </c>
      <c r="B9" s="31" t="s">
        <v>46</v>
      </c>
      <c r="C9" s="31" t="s">
        <v>47</v>
      </c>
      <c r="D9" s="31" t="s">
        <v>48</v>
      </c>
      <c r="E9" s="31" t="s">
        <v>49</v>
      </c>
      <c r="F9" s="33">
        <v>20.0</v>
      </c>
    </row>
    <row r="10" ht="14.25" customHeight="1">
      <c r="A10" s="35" t="s">
        <v>50</v>
      </c>
      <c r="B10" s="35" t="s">
        <v>51</v>
      </c>
      <c r="C10" s="35" t="s">
        <v>52</v>
      </c>
      <c r="D10" s="35" t="s">
        <v>53</v>
      </c>
      <c r="E10" s="35" t="s">
        <v>54</v>
      </c>
      <c r="F10" s="36">
        <v>15.0</v>
      </c>
    </row>
    <row r="11" ht="81.0" customHeight="1">
      <c r="A11" s="31" t="s">
        <v>55</v>
      </c>
      <c r="B11" s="31" t="s">
        <v>56</v>
      </c>
      <c r="C11" s="31" t="s">
        <v>57</v>
      </c>
      <c r="D11" s="31" t="s">
        <v>58</v>
      </c>
      <c r="E11" s="31" t="s">
        <v>59</v>
      </c>
      <c r="F11" s="3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3"/>
    </row>
    <row r="54" ht="15.75" customHeight="1">
      <c r="B54" s="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60</v>
      </c>
      <c r="B1" s="39" t="s">
        <v>1</v>
      </c>
      <c r="C1" s="40"/>
      <c r="D1" s="40"/>
      <c r="E1" s="41"/>
    </row>
    <row r="2">
      <c r="A2" s="42"/>
      <c r="B2" s="43" t="s">
        <v>14</v>
      </c>
      <c r="C2" s="44" t="s">
        <v>15</v>
      </c>
      <c r="D2" s="44" t="s">
        <v>61</v>
      </c>
      <c r="E2" s="45" t="s">
        <v>17</v>
      </c>
    </row>
    <row r="3">
      <c r="A3" s="46" t="s">
        <v>62</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